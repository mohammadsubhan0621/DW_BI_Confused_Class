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/>
  </bookViews>
  <sheets>
    <sheet name="Sheet1" sheetId="1" r:id="rId1"/>
    <sheet name="Sheet2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4" i="1"/>
  <c r="E5" i="1"/>
  <c r="E6" i="1"/>
  <c r="G5" i="1" l="1"/>
  <c r="K5" i="1" s="1"/>
  <c r="G4" i="1"/>
  <c r="K4" i="1" s="1"/>
  <c r="G11" i="1"/>
  <c r="E7" i="1"/>
  <c r="E8" i="1"/>
  <c r="E9" i="1"/>
  <c r="E10" i="1"/>
  <c r="E11" i="1"/>
  <c r="E4" i="1"/>
  <c r="I11" i="1" l="1"/>
  <c r="J11" i="1"/>
  <c r="K11" i="1"/>
  <c r="H11" i="1"/>
  <c r="L11" i="1" s="1"/>
  <c r="H5" i="1"/>
  <c r="I5" i="1"/>
  <c r="J5" i="1"/>
  <c r="L5" i="1" s="1"/>
  <c r="I4" i="1"/>
  <c r="J4" i="1"/>
  <c r="H4" i="1"/>
  <c r="G8" i="1"/>
  <c r="G6" i="1"/>
  <c r="K6" i="1" s="1"/>
  <c r="G10" i="1"/>
  <c r="G9" i="1"/>
  <c r="G7" i="1"/>
  <c r="H10" i="1" l="1"/>
  <c r="J10" i="1"/>
  <c r="I10" i="1"/>
  <c r="K10" i="1"/>
  <c r="H7" i="1"/>
  <c r="K7" i="1"/>
  <c r="J7" i="1"/>
  <c r="I7" i="1"/>
  <c r="K9" i="1"/>
  <c r="J9" i="1"/>
  <c r="I9" i="1"/>
  <c r="H9" i="1"/>
  <c r="J8" i="1"/>
  <c r="H8" i="1"/>
  <c r="I8" i="1"/>
  <c r="K8" i="1"/>
  <c r="L8" i="1" s="1"/>
  <c r="J6" i="1"/>
  <c r="H6" i="1"/>
  <c r="L6" i="1"/>
  <c r="I6" i="1"/>
  <c r="L4" i="1"/>
  <c r="L9" i="1" l="1"/>
  <c r="L10" i="1"/>
  <c r="L7" i="1"/>
</calcChain>
</file>

<file path=xl/sharedStrings.xml><?xml version="1.0" encoding="utf-8"?>
<sst xmlns="http://schemas.openxmlformats.org/spreadsheetml/2006/main" count="54" uniqueCount="47">
  <si>
    <t>Consumer Id</t>
  </si>
  <si>
    <t>Consumer Name</t>
  </si>
  <si>
    <t>Previos Reading</t>
  </si>
  <si>
    <t>Current Reading</t>
  </si>
  <si>
    <t>Units Consumed</t>
  </si>
  <si>
    <t>Rate Per Unit</t>
  </si>
  <si>
    <t>PK098765432</t>
  </si>
  <si>
    <t>PK09876543</t>
  </si>
  <si>
    <t>PK0987654</t>
  </si>
  <si>
    <t>PK098765</t>
  </si>
  <si>
    <t>PK09876</t>
  </si>
  <si>
    <t>PK0987</t>
  </si>
  <si>
    <t>PK098</t>
  </si>
  <si>
    <t>PK09</t>
  </si>
  <si>
    <t>Mohammad Subhan</t>
  </si>
  <si>
    <t>Ali Raza</t>
  </si>
  <si>
    <t>Naveed Akhtar</t>
  </si>
  <si>
    <t>Danyal Chaudhry</t>
  </si>
  <si>
    <t>Sheikh Moiz</t>
  </si>
  <si>
    <t>Junaid Niazi</t>
  </si>
  <si>
    <t>Umair Haneef</t>
  </si>
  <si>
    <t>Mia Shahbaz</t>
  </si>
  <si>
    <t>Units</t>
  </si>
  <si>
    <t>Cost</t>
  </si>
  <si>
    <t>0-100</t>
  </si>
  <si>
    <t>Energy Charges</t>
  </si>
  <si>
    <t>GST/Sale Tax</t>
  </si>
  <si>
    <t>Electricity Duty</t>
  </si>
  <si>
    <t>Fuel Adjustment</t>
  </si>
  <si>
    <t>Other Charges</t>
  </si>
  <si>
    <t>Total Bill</t>
  </si>
  <si>
    <t>Due Date</t>
  </si>
  <si>
    <t>Bill Status</t>
  </si>
  <si>
    <t>Unpaid</t>
  </si>
  <si>
    <t>100-200</t>
  </si>
  <si>
    <t>200-300</t>
  </si>
  <si>
    <t>300-400</t>
  </si>
  <si>
    <t>400-500</t>
  </si>
  <si>
    <t>500-600</t>
  </si>
  <si>
    <t>600-700</t>
  </si>
  <si>
    <t>above 700</t>
  </si>
  <si>
    <t>Group Name</t>
  </si>
  <si>
    <t>Flawless</t>
  </si>
  <si>
    <t>Group Member</t>
  </si>
  <si>
    <t>ELECTRICITY BILL CALCULATOR</t>
  </si>
  <si>
    <t>M.Subhan</t>
  </si>
  <si>
    <t>Umair Iftikhar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</si>
</sst>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D2125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2" fontId="0" fillId="4" borderId="1" xfId="0" applyNumberFormat="1" applyFill="1" applyBorder="1"/>
    <xf numFmtId="0" fontId="0" fillId="0" borderId="0" xfId="0" applyAlignment="1"/>
    <xf numFmtId="0" fontId="0" fillId="6" borderId="1" xfId="0" applyFill="1" applyBorder="1" applyAlignment="1"/>
    <xf numFmtId="0" fontId="5" fillId="7" borderId="1" xfId="0" applyFont="1" applyFill="1" applyBorder="1"/>
    <xf numFmtId="0" fontId="0" fillId="7" borderId="1" xfId="0" applyFill="1" applyBorder="1"/>
    <xf numFmtId="0" fontId="0" fillId="8" borderId="1" xfId="0" applyFill="1" applyBorder="1"/>
    <xf numFmtId="0" fontId="4" fillId="6" borderId="2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43" fontId="0" fillId="5" borderId="1" xfId="1" applyFont="1" applyFill="1" applyBorder="1" applyAlignment="1">
      <alignment horizontal="right"/>
    </xf>
    <xf numFmtId="43" fontId="0" fillId="5" borderId="1" xfId="0" applyNumberFormat="1" applyFill="1" applyBorder="1"/>
    <xf numFmtId="14" fontId="0" fillId="5" borderId="1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zoomScale="145" zoomScaleNormal="145" workbookViewId="0">
      <selection activeCell="B18" sqref="B18"/>
    </sheetView>
  </sheetViews>
  <sheetFormatPr defaultRowHeight="15" x14ac:dyDescent="0.25"/>
  <cols>
    <col min="1" max="1" width="12.140625" customWidth="1"/>
    <col min="2" max="2" width="17.5703125" customWidth="1"/>
    <col min="3" max="3" width="14.42578125" customWidth="1"/>
    <col min="4" max="4" width="14.5703125" customWidth="1"/>
    <col min="5" max="5" width="14.85546875" customWidth="1"/>
    <col min="6" max="6" width="12.140625" customWidth="1"/>
    <col min="7" max="7" width="14.140625" customWidth="1"/>
    <col min="8" max="8" width="11.85546875" customWidth="1"/>
    <col min="9" max="9" width="13.85546875" customWidth="1"/>
    <col min="10" max="10" width="15.140625" customWidth="1"/>
    <col min="11" max="11" width="12.7109375" customWidth="1"/>
    <col min="12" max="12" width="12" customWidth="1"/>
    <col min="13" max="13" width="12.5703125" customWidth="1"/>
  </cols>
  <sheetData>
    <row r="1" spans="1:14" ht="15" customHeight="1" x14ac:dyDescent="0.2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4.45" customHeight="1" thickBot="1" x14ac:dyDescent="0.3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25</v>
      </c>
      <c r="H3" s="10" t="s">
        <v>26</v>
      </c>
      <c r="I3" s="10" t="s">
        <v>27</v>
      </c>
      <c r="J3" s="10" t="s">
        <v>28</v>
      </c>
      <c r="K3" s="10" t="s">
        <v>29</v>
      </c>
      <c r="L3" s="10" t="s">
        <v>30</v>
      </c>
      <c r="M3" s="10" t="s">
        <v>31</v>
      </c>
      <c r="N3" s="10" t="s">
        <v>32</v>
      </c>
    </row>
    <row r="4" spans="1:14" ht="16.5" thickTop="1" thickBot="1" x14ac:dyDescent="0.3">
      <c r="A4" s="11" t="s">
        <v>6</v>
      </c>
      <c r="B4" s="11" t="s">
        <v>14</v>
      </c>
      <c r="C4" s="12">
        <v>816</v>
      </c>
      <c r="D4" s="13">
        <v>1700</v>
      </c>
      <c r="E4" s="13">
        <f>D4-C4</f>
        <v>884</v>
      </c>
      <c r="F4" s="13" t="str">
        <f>IF(E4&lt;=100,"22.44",IF(E4&lt;=200,"28.91",IF(E4&lt;=300,"33.1",IF(E4&lt;=400,"36.46",IF(E4&lt;=500,"38.95",IF(E4&lt;=600,"40.22",IF(E4&lt;=700,"41.85",IF(E4&gt;=700,"44.1"))))))))</f>
        <v>44.1</v>
      </c>
      <c r="G4" s="14">
        <f>E4*F4</f>
        <v>38984.400000000001</v>
      </c>
      <c r="H4" s="15">
        <f>G4*18%</f>
        <v>7017.192</v>
      </c>
      <c r="I4" s="15">
        <f>G4*1.5%</f>
        <v>584.76599999999996</v>
      </c>
      <c r="J4" s="15">
        <f>G4*1%</f>
        <v>389.84400000000005</v>
      </c>
      <c r="K4" s="15">
        <f>G4*0.25%</f>
        <v>97.461000000000013</v>
      </c>
      <c r="L4" s="15">
        <f>SUM(G4:K4)</f>
        <v>47073.663000000008</v>
      </c>
      <c r="M4" s="16">
        <v>46280</v>
      </c>
      <c r="N4" s="11" t="s">
        <v>33</v>
      </c>
    </row>
    <row r="5" spans="1:14" ht="16.5" thickTop="1" thickBot="1" x14ac:dyDescent="0.3">
      <c r="A5" s="11" t="s">
        <v>7</v>
      </c>
      <c r="B5" s="11" t="s">
        <v>15</v>
      </c>
      <c r="C5" s="12">
        <v>450</v>
      </c>
      <c r="D5" s="13">
        <v>900</v>
      </c>
      <c r="E5" s="13">
        <f t="shared" ref="E5:E6" si="0">D5-C5</f>
        <v>450</v>
      </c>
      <c r="F5" s="13" t="str">
        <f t="shared" ref="F5:F11" si="1">IF(E5&lt;=100,"22.44",IF(E5&lt;=200,"28.91",IF(E5&lt;=300,"33.1",IF(E5&lt;=400,"36.46",IF(E5&lt;=500,"38.95",IF(E5&lt;=600,"40.22",IF(E5&lt;=700,"41.85",IF(E5&gt;=700,"44.1"))))))))</f>
        <v>38.95</v>
      </c>
      <c r="G5" s="14">
        <f t="shared" ref="G5:G11" si="2">E5*F5</f>
        <v>17527.5</v>
      </c>
      <c r="H5" s="15">
        <f t="shared" ref="H5:H11" si="3">G5*18%</f>
        <v>3154.95</v>
      </c>
      <c r="I5" s="15">
        <f t="shared" ref="I5:I10" si="4">G5*1.5%</f>
        <v>262.91249999999997</v>
      </c>
      <c r="J5" s="15">
        <f t="shared" ref="J5:J11" si="5">G5*1%</f>
        <v>175.27500000000001</v>
      </c>
      <c r="K5" s="15">
        <f t="shared" ref="K5:K11" si="6">G5*0.25%</f>
        <v>43.818750000000001</v>
      </c>
      <c r="L5" s="15">
        <f t="shared" ref="L5:L11" si="7">SUM(G5:K5)</f>
        <v>21164.456249999999</v>
      </c>
      <c r="M5" s="16">
        <v>46281</v>
      </c>
      <c r="N5" s="11" t="s">
        <v>33</v>
      </c>
    </row>
    <row r="6" spans="1:14" ht="16.5" thickTop="1" thickBot="1" x14ac:dyDescent="0.3">
      <c r="A6" s="11" t="s">
        <v>8</v>
      </c>
      <c r="B6" s="11" t="s">
        <v>20</v>
      </c>
      <c r="C6" s="12">
        <v>469</v>
      </c>
      <c r="D6" s="13">
        <v>970</v>
      </c>
      <c r="E6" s="13">
        <f t="shared" si="0"/>
        <v>501</v>
      </c>
      <c r="F6" s="13" t="str">
        <f t="shared" si="1"/>
        <v>40.22</v>
      </c>
      <c r="G6" s="14">
        <f t="shared" si="2"/>
        <v>20150.22</v>
      </c>
      <c r="H6" s="15">
        <f t="shared" si="3"/>
        <v>3627.0396000000001</v>
      </c>
      <c r="I6" s="15">
        <f t="shared" si="4"/>
        <v>302.25330000000002</v>
      </c>
      <c r="J6" s="15">
        <f t="shared" si="5"/>
        <v>201.50220000000002</v>
      </c>
      <c r="K6" s="15">
        <f t="shared" si="6"/>
        <v>50.375550000000004</v>
      </c>
      <c r="L6" s="15">
        <f t="shared" si="7"/>
        <v>24331.390650000001</v>
      </c>
      <c r="M6" s="16">
        <v>46282</v>
      </c>
      <c r="N6" s="11" t="s">
        <v>33</v>
      </c>
    </row>
    <row r="7" spans="1:14" ht="16.5" thickTop="1" thickBot="1" x14ac:dyDescent="0.3">
      <c r="A7" s="11" t="s">
        <v>9</v>
      </c>
      <c r="B7" s="11" t="s">
        <v>18</v>
      </c>
      <c r="C7" s="12">
        <v>310</v>
      </c>
      <c r="D7" s="13">
        <v>705</v>
      </c>
      <c r="E7" s="13">
        <f t="shared" ref="E5:E11" si="8">D7-C7</f>
        <v>395</v>
      </c>
      <c r="F7" s="13" t="str">
        <f t="shared" si="1"/>
        <v>36.46</v>
      </c>
      <c r="G7" s="14">
        <f>E7*F7</f>
        <v>14401.7</v>
      </c>
      <c r="H7" s="15">
        <f t="shared" si="3"/>
        <v>2592.306</v>
      </c>
      <c r="I7" s="15">
        <f t="shared" si="4"/>
        <v>216.02549999999999</v>
      </c>
      <c r="J7" s="15">
        <f t="shared" si="5"/>
        <v>144.01700000000002</v>
      </c>
      <c r="K7" s="15">
        <f t="shared" si="6"/>
        <v>36.004250000000006</v>
      </c>
      <c r="L7" s="15">
        <f t="shared" si="7"/>
        <v>17390.052750000003</v>
      </c>
      <c r="M7" s="16">
        <v>46283</v>
      </c>
      <c r="N7" s="11" t="s">
        <v>33</v>
      </c>
    </row>
    <row r="8" spans="1:14" ht="16.5" thickTop="1" thickBot="1" x14ac:dyDescent="0.3">
      <c r="A8" s="11" t="s">
        <v>10</v>
      </c>
      <c r="B8" s="11" t="s">
        <v>16</v>
      </c>
      <c r="C8" s="12">
        <v>810</v>
      </c>
      <c r="D8" s="13">
        <v>1000</v>
      </c>
      <c r="E8" s="13">
        <f t="shared" si="8"/>
        <v>190</v>
      </c>
      <c r="F8" s="13" t="str">
        <f t="shared" si="1"/>
        <v>28.91</v>
      </c>
      <c r="G8" s="14">
        <f t="shared" si="2"/>
        <v>5492.9</v>
      </c>
      <c r="H8" s="15">
        <f t="shared" si="3"/>
        <v>988.72199999999987</v>
      </c>
      <c r="I8" s="15">
        <f t="shared" si="4"/>
        <v>82.393499999999989</v>
      </c>
      <c r="J8" s="15">
        <f t="shared" si="5"/>
        <v>54.928999999999995</v>
      </c>
      <c r="K8" s="15">
        <f t="shared" si="6"/>
        <v>13.732249999999999</v>
      </c>
      <c r="L8" s="15">
        <f t="shared" si="7"/>
        <v>6632.6767499999996</v>
      </c>
      <c r="M8" s="16">
        <v>46284</v>
      </c>
      <c r="N8" s="11" t="s">
        <v>33</v>
      </c>
    </row>
    <row r="9" spans="1:14" ht="16.5" thickTop="1" thickBot="1" x14ac:dyDescent="0.3">
      <c r="A9" s="11" t="s">
        <v>11</v>
      </c>
      <c r="B9" s="11" t="s">
        <v>19</v>
      </c>
      <c r="C9" s="12">
        <v>240</v>
      </c>
      <c r="D9" s="13">
        <v>670</v>
      </c>
      <c r="E9" s="13">
        <f t="shared" si="8"/>
        <v>430</v>
      </c>
      <c r="F9" s="13" t="str">
        <f t="shared" si="1"/>
        <v>38.95</v>
      </c>
      <c r="G9" s="14">
        <f t="shared" si="2"/>
        <v>16748.5</v>
      </c>
      <c r="H9" s="15">
        <f t="shared" si="3"/>
        <v>3014.73</v>
      </c>
      <c r="I9" s="15">
        <f t="shared" si="4"/>
        <v>251.22749999999999</v>
      </c>
      <c r="J9" s="15">
        <f t="shared" si="5"/>
        <v>167.48500000000001</v>
      </c>
      <c r="K9" s="15">
        <f t="shared" si="6"/>
        <v>41.871250000000003</v>
      </c>
      <c r="L9" s="15">
        <f t="shared" si="7"/>
        <v>20223.813750000001</v>
      </c>
      <c r="M9" s="16">
        <v>46285</v>
      </c>
      <c r="N9" s="11" t="s">
        <v>33</v>
      </c>
    </row>
    <row r="10" spans="1:14" ht="16.5" thickTop="1" thickBot="1" x14ac:dyDescent="0.3">
      <c r="A10" s="11" t="s">
        <v>12</v>
      </c>
      <c r="B10" s="11" t="s">
        <v>17</v>
      </c>
      <c r="C10" s="12">
        <v>456</v>
      </c>
      <c r="D10" s="13">
        <v>821</v>
      </c>
      <c r="E10" s="13">
        <f t="shared" si="8"/>
        <v>365</v>
      </c>
      <c r="F10" s="13" t="str">
        <f t="shared" si="1"/>
        <v>36.46</v>
      </c>
      <c r="G10" s="14">
        <f t="shared" si="2"/>
        <v>13307.9</v>
      </c>
      <c r="H10" s="15">
        <f t="shared" si="3"/>
        <v>2395.422</v>
      </c>
      <c r="I10" s="15">
        <f t="shared" si="4"/>
        <v>199.61849999999998</v>
      </c>
      <c r="J10" s="15">
        <f t="shared" si="5"/>
        <v>133.07900000000001</v>
      </c>
      <c r="K10" s="15">
        <f t="shared" si="6"/>
        <v>33.269750000000002</v>
      </c>
      <c r="L10" s="15">
        <f t="shared" si="7"/>
        <v>16069.28925</v>
      </c>
      <c r="M10" s="16">
        <v>46286</v>
      </c>
      <c r="N10" s="11" t="s">
        <v>33</v>
      </c>
    </row>
    <row r="11" spans="1:14" ht="16.5" thickTop="1" thickBot="1" x14ac:dyDescent="0.3">
      <c r="A11" s="11" t="s">
        <v>13</v>
      </c>
      <c r="B11" s="11" t="s">
        <v>21</v>
      </c>
      <c r="C11" s="12">
        <v>120</v>
      </c>
      <c r="D11" s="13">
        <v>210</v>
      </c>
      <c r="E11" s="13">
        <f t="shared" si="8"/>
        <v>90</v>
      </c>
      <c r="F11" s="13" t="str">
        <f t="shared" si="1"/>
        <v>22.44</v>
      </c>
      <c r="G11" s="14">
        <f t="shared" si="2"/>
        <v>2019.6000000000001</v>
      </c>
      <c r="H11" s="15">
        <f t="shared" si="3"/>
        <v>363.52800000000002</v>
      </c>
      <c r="I11" s="15">
        <f>G11*1.5%</f>
        <v>30.294</v>
      </c>
      <c r="J11" s="15">
        <f t="shared" si="5"/>
        <v>20.196000000000002</v>
      </c>
      <c r="K11" s="15">
        <f t="shared" si="6"/>
        <v>5.0490000000000004</v>
      </c>
      <c r="L11" s="15">
        <f t="shared" si="7"/>
        <v>2438.6669999999999</v>
      </c>
      <c r="M11" s="16">
        <v>46287</v>
      </c>
      <c r="N11" s="11" t="s">
        <v>33</v>
      </c>
    </row>
    <row r="12" spans="1:14" ht="15.75" thickTop="1" x14ac:dyDescent="0.25"/>
    <row r="13" spans="1:14" ht="15.75" thickBot="1" x14ac:dyDescent="0.3"/>
    <row r="14" spans="1:14" ht="16.5" thickTop="1" thickBot="1" x14ac:dyDescent="0.3">
      <c r="B14" s="6" t="s">
        <v>41</v>
      </c>
      <c r="C14" s="6" t="s">
        <v>43</v>
      </c>
      <c r="D14" s="5"/>
      <c r="E14" s="5"/>
    </row>
    <row r="15" spans="1:14" ht="18.75" thickTop="1" thickBot="1" x14ac:dyDescent="0.35">
      <c r="B15" s="7" t="s">
        <v>42</v>
      </c>
      <c r="C15" s="8" t="s">
        <v>45</v>
      </c>
    </row>
    <row r="16" spans="1:14" ht="16.5" thickTop="1" thickBot="1" x14ac:dyDescent="0.3">
      <c r="B16" s="9"/>
      <c r="C16" s="8" t="s">
        <v>46</v>
      </c>
    </row>
    <row r="17" ht="15.75" thickTop="1" x14ac:dyDescent="0.25"/>
  </sheetData>
  <mergeCells count="1">
    <mergeCell ref="A1:N2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>
      <selection activeCell="C11" sqref="C11"/>
    </sheetView>
  </sheetViews>
  <sheetFormatPr defaultRowHeight="15" x14ac:dyDescent="0.25"/>
  <cols>
    <col min="2" max="2" width="10.140625" customWidth="1"/>
  </cols>
  <sheetData>
    <row r="2" spans="2:3" ht="15.75" thickBot="1" x14ac:dyDescent="0.3"/>
    <row r="3" spans="2:3" ht="16.5" thickTop="1" thickBot="1" x14ac:dyDescent="0.3">
      <c r="B3" s="2" t="s">
        <v>22</v>
      </c>
      <c r="C3" s="2" t="s">
        <v>23</v>
      </c>
    </row>
    <row r="4" spans="2:3" ht="16.5" thickTop="1" thickBot="1" x14ac:dyDescent="0.3">
      <c r="B4" s="3" t="s">
        <v>24</v>
      </c>
      <c r="C4" s="3">
        <v>22.44</v>
      </c>
    </row>
    <row r="5" spans="2:3" ht="16.5" thickTop="1" thickBot="1" x14ac:dyDescent="0.3">
      <c r="B5" s="3" t="s">
        <v>34</v>
      </c>
      <c r="C5" s="4">
        <v>28.91</v>
      </c>
    </row>
    <row r="6" spans="2:3" ht="16.5" thickTop="1" thickBot="1" x14ac:dyDescent="0.3">
      <c r="B6" s="3" t="s">
        <v>35</v>
      </c>
      <c r="C6" s="4">
        <v>33.1</v>
      </c>
    </row>
    <row r="7" spans="2:3" ht="16.5" thickTop="1" thickBot="1" x14ac:dyDescent="0.3">
      <c r="B7" s="3" t="s">
        <v>36</v>
      </c>
      <c r="C7" s="4">
        <v>36.46</v>
      </c>
    </row>
    <row r="8" spans="2:3" ht="16.5" thickTop="1" thickBot="1" x14ac:dyDescent="0.3">
      <c r="B8" s="3" t="s">
        <v>37</v>
      </c>
      <c r="C8" s="3">
        <v>38.950000000000003</v>
      </c>
    </row>
    <row r="9" spans="2:3" ht="16.5" thickTop="1" thickBot="1" x14ac:dyDescent="0.3">
      <c r="B9" s="3" t="s">
        <v>38</v>
      </c>
      <c r="C9" s="3">
        <v>40.22</v>
      </c>
    </row>
    <row r="10" spans="2:3" ht="16.5" thickTop="1" thickBot="1" x14ac:dyDescent="0.3">
      <c r="B10" s="3" t="s">
        <v>39</v>
      </c>
      <c r="C10" s="3">
        <v>41.85</v>
      </c>
    </row>
    <row r="11" spans="2:3" ht="16.5" thickTop="1" thickBot="1" x14ac:dyDescent="0.3">
      <c r="B11" s="3" t="s">
        <v>40</v>
      </c>
      <c r="C11" s="3">
        <v>44.1</v>
      </c>
    </row>
    <row r="12" spans="2:3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pc</cp:lastModifiedBy>
  <dcterms:created xsi:type="dcterms:W3CDTF">2026-09-13T13:01:04Z</dcterms:created>
  <dcterms:modified xsi:type="dcterms:W3CDTF">2026-09-29T15:53:32Z</dcterms:modified>
</cp:coreProperties>
</file>