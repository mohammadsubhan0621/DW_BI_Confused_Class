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22ee857a661573/Desktop/"/>
    </mc:Choice>
  </mc:AlternateContent>
  <xr:revisionPtr revIDLastSave="0" documentId="14_{14AC43C6-0796-402B-8DDA-B786E03BAC87}" xr6:coauthVersionLast="47" xr6:coauthVersionMax="47" xr10:uidLastSave="{00000000-0000-0000-0000-000000000000}"/>
  <bookViews>
    <workbookView xWindow="-110" yWindow="-110" windowWidth="19420" windowHeight="10300" activeTab="1" xr2:uid="{DBBF3789-5CC4-4F18-812A-0A32140657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7" i="1"/>
  <c r="F8" i="1"/>
  <c r="F9" i="1"/>
  <c r="F10" i="1"/>
  <c r="F11" i="1"/>
  <c r="F4" i="1"/>
  <c r="G4" i="1" s="1"/>
  <c r="G5" i="1"/>
  <c r="G11" i="1"/>
  <c r="E5" i="1"/>
  <c r="E6" i="1"/>
  <c r="F6" i="1" s="1"/>
  <c r="E7" i="1"/>
  <c r="E8" i="1"/>
  <c r="E9" i="1"/>
  <c r="E10" i="1"/>
  <c r="E11" i="1"/>
  <c r="E4" i="1"/>
  <c r="G8" i="1" l="1"/>
  <c r="G6" i="1"/>
  <c r="G10" i="1"/>
  <c r="G9" i="1"/>
  <c r="G7" i="1"/>
</calcChain>
</file>

<file path=xl/sharedStrings.xml><?xml version="1.0" encoding="utf-8"?>
<sst xmlns="http://schemas.openxmlformats.org/spreadsheetml/2006/main" count="34" uniqueCount="34">
  <si>
    <t>ELECTRICITY BILLING</t>
  </si>
  <si>
    <t>Consumer Id</t>
  </si>
  <si>
    <t>Consumer Name</t>
  </si>
  <si>
    <t>Previos Reading</t>
  </si>
  <si>
    <t>Current Reading</t>
  </si>
  <si>
    <t>Units Consumed</t>
  </si>
  <si>
    <t>Rate Per Unit</t>
  </si>
  <si>
    <t>Net Amount</t>
  </si>
  <si>
    <t>PK098765432</t>
  </si>
  <si>
    <t>PK09876543</t>
  </si>
  <si>
    <t>PK0987654</t>
  </si>
  <si>
    <t>PK098765</t>
  </si>
  <si>
    <t>PK09876</t>
  </si>
  <si>
    <t>PK0987</t>
  </si>
  <si>
    <t>PK098</t>
  </si>
  <si>
    <t>PK09</t>
  </si>
  <si>
    <t>Mohammad Subhan</t>
  </si>
  <si>
    <t>Ali Raza</t>
  </si>
  <si>
    <t>Naveed Akhtar</t>
  </si>
  <si>
    <t>Danyal Chaudhry</t>
  </si>
  <si>
    <t>Sheikh Moiz</t>
  </si>
  <si>
    <t>Junaid Niazi</t>
  </si>
  <si>
    <t>Umair Haneef</t>
  </si>
  <si>
    <t>Mia Shahbaz</t>
  </si>
  <si>
    <t>Units</t>
  </si>
  <si>
    <t>Cost</t>
  </si>
  <si>
    <t>0-100</t>
  </si>
  <si>
    <t>101-200</t>
  </si>
  <si>
    <t>201-300</t>
  </si>
  <si>
    <t>301-400</t>
  </si>
  <si>
    <t>401-500</t>
  </si>
  <si>
    <t>501-600</t>
  </si>
  <si>
    <t>601-700</t>
  </si>
  <si>
    <t>Above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</si>
</sst>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right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23D4-FD29-4BF2-8CA3-7A107D44309A}">
  <dimension ref="A1:G11"/>
  <sheetViews>
    <sheetView topLeftCell="B1" workbookViewId="0">
      <selection activeCell="H6" sqref="H6"/>
    </sheetView>
  </sheetViews>
  <sheetFormatPr defaultRowHeight="14.5" x14ac:dyDescent="0.35"/>
  <cols>
    <col min="1" max="1" width="12.08984375" customWidth="1"/>
    <col min="2" max="2" width="17.54296875" customWidth="1"/>
    <col min="3" max="3" width="14.36328125" customWidth="1"/>
    <col min="4" max="4" width="14.54296875" customWidth="1"/>
    <col min="5" max="5" width="14.81640625" customWidth="1"/>
    <col min="6" max="6" width="12.1796875" customWidth="1"/>
    <col min="7" max="7" width="11.1796875" customWidth="1"/>
  </cols>
  <sheetData>
    <row r="1" spans="1:7" x14ac:dyDescent="0.35">
      <c r="A1" s="6" t="s">
        <v>0</v>
      </c>
      <c r="B1" s="7"/>
      <c r="C1" s="7"/>
      <c r="D1" s="7"/>
      <c r="E1" s="7"/>
      <c r="F1" s="7"/>
      <c r="G1" s="7"/>
    </row>
    <row r="2" spans="1:7" x14ac:dyDescent="0.35">
      <c r="A2" s="7"/>
      <c r="B2" s="7"/>
      <c r="C2" s="7"/>
      <c r="D2" s="7"/>
      <c r="E2" s="7"/>
      <c r="F2" s="7"/>
      <c r="G2" s="7"/>
    </row>
    <row r="3" spans="1: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t="s">
        <v>7</v>
      </c>
    </row>
    <row r="4" spans="1:7" x14ac:dyDescent="0.35">
      <c r="A4" t="s">
        <v>8</v>
      </c>
      <c r="B4" t="s">
        <v>16</v>
      </c>
      <c r="C4" s="3">
        <v>816</v>
      </c>
      <c r="D4" s="1">
        <v>1020</v>
      </c>
      <c r="E4" s="1">
        <f>D4-C4</f>
        <v>204</v>
      </c>
      <c r="F4" s="1" t="str">
        <f>IF(E4&lt;=100,"22.44",IF(E4&lt;=200,"28.91",IF(E4&lt;=300,"33.1",IF(E4&lt;=400,"36.46",IF(E4&lt;=500,"38.95",IF(E4&lt;=600,"40.22",IF(E4&lt;=700,"41.85",)))))))</f>
        <v>33.1</v>
      </c>
      <c r="G4" s="4">
        <f>E4*F4</f>
        <v>6752.4000000000005</v>
      </c>
    </row>
    <row r="5" spans="1:7" x14ac:dyDescent="0.35">
      <c r="A5" t="s">
        <v>9</v>
      </c>
      <c r="B5" t="s">
        <v>17</v>
      </c>
      <c r="C5" s="3">
        <v>450</v>
      </c>
      <c r="D5" s="1">
        <v>590</v>
      </c>
      <c r="E5" s="1">
        <f t="shared" ref="E5:E11" si="0">D5-C5</f>
        <v>140</v>
      </c>
      <c r="F5" s="1" t="str">
        <f t="shared" ref="F5:F11" si="1">IF(E5&lt;=100,"22.44",IF(E5&lt;=200,"28.91",IF(E5&lt;=300,"33.1",IF(E5&lt;=400,"36.46",IF(E5&lt;=500,"38.95",IF(E5&lt;=600,"40.22",IF(E5&lt;=700,"41.85",)))))))</f>
        <v>28.91</v>
      </c>
      <c r="G5" s="4">
        <f t="shared" ref="G5:G11" si="2">E5*F5</f>
        <v>4047.4</v>
      </c>
    </row>
    <row r="6" spans="1:7" x14ac:dyDescent="0.35">
      <c r="A6" t="s">
        <v>10</v>
      </c>
      <c r="B6" t="s">
        <v>22</v>
      </c>
      <c r="C6" s="3">
        <v>469</v>
      </c>
      <c r="D6" s="1">
        <v>970</v>
      </c>
      <c r="E6" s="1">
        <f t="shared" si="0"/>
        <v>501</v>
      </c>
      <c r="F6" s="1" t="str">
        <f>IF(E6&lt;=100,"22.44",IF(E6&lt;=200,"28.91",IF(E6&lt;=300,"33.1",IF(E6&lt;=400,"36.46",IF(E6&lt;=500,"38.95",IF(E6&lt;=600,"40.22",IF(E6&lt;=700,"41.85",)))))))</f>
        <v>40.22</v>
      </c>
      <c r="G6" s="4">
        <f t="shared" si="2"/>
        <v>20150.22</v>
      </c>
    </row>
    <row r="7" spans="1:7" x14ac:dyDescent="0.35">
      <c r="A7" t="s">
        <v>11</v>
      </c>
      <c r="B7" t="s">
        <v>20</v>
      </c>
      <c r="C7" s="3">
        <v>310</v>
      </c>
      <c r="D7" s="1">
        <v>705</v>
      </c>
      <c r="E7" s="1">
        <f t="shared" si="0"/>
        <v>395</v>
      </c>
      <c r="F7" s="1" t="str">
        <f t="shared" si="1"/>
        <v>36.46</v>
      </c>
      <c r="G7" s="4">
        <f>E7*F7</f>
        <v>14401.7</v>
      </c>
    </row>
    <row r="8" spans="1:7" x14ac:dyDescent="0.35">
      <c r="A8" t="s">
        <v>12</v>
      </c>
      <c r="B8" t="s">
        <v>18</v>
      </c>
      <c r="C8" s="3">
        <v>810</v>
      </c>
      <c r="D8" s="1">
        <v>1000</v>
      </c>
      <c r="E8" s="1">
        <f t="shared" si="0"/>
        <v>190</v>
      </c>
      <c r="F8" s="1" t="str">
        <f t="shared" si="1"/>
        <v>28.91</v>
      </c>
      <c r="G8" s="4">
        <f t="shared" si="2"/>
        <v>5492.9</v>
      </c>
    </row>
    <row r="9" spans="1:7" x14ac:dyDescent="0.35">
      <c r="A9" t="s">
        <v>13</v>
      </c>
      <c r="B9" t="s">
        <v>21</v>
      </c>
      <c r="C9" s="3">
        <v>240</v>
      </c>
      <c r="D9" s="1">
        <v>670</v>
      </c>
      <c r="E9" s="1">
        <f t="shared" si="0"/>
        <v>430</v>
      </c>
      <c r="F9" s="1" t="str">
        <f t="shared" si="1"/>
        <v>38.95</v>
      </c>
      <c r="G9" s="4">
        <f t="shared" si="2"/>
        <v>16748.5</v>
      </c>
    </row>
    <row r="10" spans="1:7" x14ac:dyDescent="0.35">
      <c r="A10" t="s">
        <v>14</v>
      </c>
      <c r="B10" t="s">
        <v>19</v>
      </c>
      <c r="C10" s="3">
        <v>456</v>
      </c>
      <c r="D10" s="1">
        <v>821</v>
      </c>
      <c r="E10" s="1">
        <f t="shared" si="0"/>
        <v>365</v>
      </c>
      <c r="F10" s="1" t="str">
        <f t="shared" si="1"/>
        <v>36.46</v>
      </c>
      <c r="G10" s="4">
        <f t="shared" si="2"/>
        <v>13307.9</v>
      </c>
    </row>
    <row r="11" spans="1:7" x14ac:dyDescent="0.35">
      <c r="A11" t="s">
        <v>15</v>
      </c>
      <c r="B11" t="s">
        <v>23</v>
      </c>
      <c r="C11" s="3">
        <v>120</v>
      </c>
      <c r="D11" s="1">
        <v>210</v>
      </c>
      <c r="E11" s="1">
        <f t="shared" si="0"/>
        <v>90</v>
      </c>
      <c r="F11" s="1" t="str">
        <f t="shared" si="1"/>
        <v>22.44</v>
      </c>
      <c r="G11" s="4">
        <f t="shared" si="2"/>
        <v>2019.6000000000001</v>
      </c>
    </row>
  </sheetData>
  <mergeCells count="1">
    <mergeCell ref="A1:G2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7825-6D0B-4143-9E69-85EC5FC60002}">
  <dimension ref="B3:C11"/>
  <sheetViews>
    <sheetView tabSelected="1" workbookViewId="0">
      <selection activeCell="C11" sqref="C11"/>
    </sheetView>
  </sheetViews>
  <sheetFormatPr defaultRowHeight="14.5" x14ac:dyDescent="0.35"/>
  <cols>
    <col min="2" max="2" width="10.08984375" customWidth="1"/>
  </cols>
  <sheetData>
    <row r="3" spans="2:3" x14ac:dyDescent="0.35">
      <c r="B3" s="5" t="s">
        <v>24</v>
      </c>
      <c r="C3" s="5" t="s">
        <v>25</v>
      </c>
    </row>
    <row r="4" spans="2:3" x14ac:dyDescent="0.35">
      <c r="B4" t="s">
        <v>26</v>
      </c>
      <c r="C4">
        <v>22.44</v>
      </c>
    </row>
    <row r="5" spans="2:3" x14ac:dyDescent="0.35">
      <c r="B5" t="s">
        <v>27</v>
      </c>
      <c r="C5" s="2">
        <v>28.91</v>
      </c>
    </row>
    <row r="6" spans="2:3" x14ac:dyDescent="0.35">
      <c r="B6" t="s">
        <v>28</v>
      </c>
      <c r="C6" s="2">
        <v>33.1</v>
      </c>
    </row>
    <row r="7" spans="2:3" x14ac:dyDescent="0.35">
      <c r="B7" t="s">
        <v>29</v>
      </c>
      <c r="C7" s="2">
        <v>36.46</v>
      </c>
    </row>
    <row r="8" spans="2:3" x14ac:dyDescent="0.35">
      <c r="B8" t="s">
        <v>30</v>
      </c>
      <c r="C8" s="2">
        <v>38.950000000000003</v>
      </c>
    </row>
    <row r="9" spans="2:3" x14ac:dyDescent="0.35">
      <c r="B9" t="s">
        <v>31</v>
      </c>
      <c r="C9" s="2">
        <v>40.22</v>
      </c>
    </row>
    <row r="10" spans="2:3" x14ac:dyDescent="0.35">
      <c r="B10" t="s">
        <v>32</v>
      </c>
      <c r="C10" s="2">
        <v>41.85</v>
      </c>
    </row>
    <row r="11" spans="2:3" x14ac:dyDescent="0.35">
      <c r="B11" t="s">
        <v>33</v>
      </c>
      <c r="C11" s="2">
        <v>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mohammadsubhan0621@gmail.com</cp:lastModifiedBy>
  <dcterms:created xsi:type="dcterms:W3CDTF">2026-09-13T13:01:04Z</dcterms:created>
  <dcterms:modified xsi:type="dcterms:W3CDTF">2026-09-14T03:49:39Z</dcterms:modified>
</cp:coreProperties>
</file>